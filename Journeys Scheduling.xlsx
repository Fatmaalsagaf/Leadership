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futtaimgroup-my.sharepoint.com/personal/fatma_alsagaf_alfuttaim_com/Documents/Desktop/Talent, Engagement, Awards/Leadership/"/>
    </mc:Choice>
  </mc:AlternateContent>
  <xr:revisionPtr revIDLastSave="0" documentId="8_{B6EF7279-6707-403D-A3B9-A6FC051E8F01}" xr6:coauthVersionLast="47" xr6:coauthVersionMax="47" xr10:uidLastSave="{00000000-0000-0000-0000-000000000000}"/>
  <bookViews>
    <workbookView xWindow="-108" yWindow="-108" windowWidth="23256" windowHeight="12576" xr2:uid="{545E8146-C322-4696-ADA5-F7605E543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3" i="1" l="1"/>
  <c r="Y22" i="1"/>
  <c r="Y24" i="1" s="1"/>
  <c r="Y25" i="1" s="1"/>
</calcChain>
</file>

<file path=xl/sharedStrings.xml><?xml version="1.0" encoding="utf-8"?>
<sst xmlns="http://schemas.openxmlformats.org/spreadsheetml/2006/main" count="114" uniqueCount="34">
  <si>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</si>
  <si>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</si>
  <si>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</si>
  <si>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</si>
  <si>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</si>
  <si>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</si>
  <si>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</si>
  <si>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</si>
  <si>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</si>
  <si>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</si>
  <si>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</si>
  <si>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</si>
  <si>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1,2</t>
  </si>
  <si>
    <t>1,2,3,4</t>
  </si>
  <si>
    <t>3,4</t>
  </si>
  <si>
    <t>5,6</t>
  </si>
  <si>
    <t>7,8</t>
  </si>
  <si>
    <t>5,6,7,8</t>
  </si>
  <si>
    <t>Launch Sessions</t>
  </si>
  <si>
    <t>Total Completed Journeys</t>
  </si>
  <si>
    <t>Leadership Journey Cohorts</t>
  </si>
  <si>
    <t>Journeys Key</t>
  </si>
  <si>
    <t>5,6,</t>
  </si>
  <si>
    <t>Hours Calculator</t>
  </si>
  <si>
    <t>Total hours</t>
  </si>
  <si>
    <t>Total weeks</t>
  </si>
  <si>
    <t>Delivery hours</t>
  </si>
  <si>
    <t>Prep hours</t>
  </si>
  <si>
    <t>9,10</t>
  </si>
  <si>
    <t>11,12</t>
  </si>
  <si>
    <t>13,14</t>
  </si>
  <si>
    <t>15,16</t>
  </si>
  <si>
    <t>9,10,11,12</t>
  </si>
  <si>
    <t>Number of cohorts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</si>
</sst>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Border="1"/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" xfId="0" applyFont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3" fillId="0" borderId="0" xfId="0" applyFont="1"/>
    <xf numFmtId="0" fontId="2" fillId="13" borderId="1" xfId="0" applyFont="1" applyFill="1" applyBorder="1"/>
    <xf numFmtId="0" fontId="3" fillId="13" borderId="1" xfId="0" applyFont="1" applyFill="1" applyBorder="1"/>
    <xf numFmtId="0" fontId="2" fillId="10" borderId="1" xfId="0" applyFont="1" applyFill="1" applyBorder="1"/>
    <xf numFmtId="0" fontId="3" fillId="12" borderId="1" xfId="0" applyFont="1" applyFill="1" applyBorder="1"/>
    <xf numFmtId="0" fontId="3" fillId="12" borderId="0" xfId="0" applyFont="1" applyFill="1"/>
    <xf numFmtId="0" fontId="3" fillId="13" borderId="0" xfId="0" applyFont="1" applyFill="1"/>
    <xf numFmtId="2" fontId="3" fillId="0" borderId="1" xfId="0" applyNumberFormat="1" applyFont="1" applyBorder="1"/>
    <xf numFmtId="16" fontId="3" fillId="0" borderId="1" xfId="0" applyNumberFormat="1" applyFont="1" applyBorder="1"/>
    <xf numFmtId="0" fontId="3" fillId="5" borderId="3" xfId="0" applyFont="1" applyFill="1" applyBorder="1"/>
    <xf numFmtId="0" fontId="3" fillId="6" borderId="5" xfId="0" applyFont="1" applyFill="1" applyBorder="1"/>
    <xf numFmtId="0" fontId="3" fillId="7" borderId="5" xfId="0" applyFont="1" applyFill="1" applyBorder="1"/>
    <xf numFmtId="0" fontId="3" fillId="8" borderId="5" xfId="0" applyFont="1" applyFill="1" applyBorder="1"/>
    <xf numFmtId="0" fontId="3" fillId="9" borderId="5" xfId="0" applyFont="1" applyFill="1" applyBorder="1"/>
    <xf numFmtId="0" fontId="3" fillId="10" borderId="5" xfId="0" applyFont="1" applyFill="1" applyBorder="1"/>
    <xf numFmtId="0" fontId="2" fillId="0" borderId="0" xfId="0" applyFont="1"/>
    <xf numFmtId="0" fontId="3" fillId="11" borderId="5" xfId="0" applyFont="1" applyFill="1" applyBorder="1"/>
    <xf numFmtId="0" fontId="3" fillId="12" borderId="7" xfId="0" applyFont="1" applyFill="1" applyBorder="1"/>
    <xf numFmtId="0" fontId="4" fillId="0" borderId="1" xfId="0" applyFont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2" borderId="8" xfId="0" applyFont="1" applyFill="1" applyBorder="1"/>
    <xf numFmtId="0" fontId="4" fillId="2" borderId="9" xfId="0" applyFont="1" applyFill="1" applyBorder="1"/>
    <xf numFmtId="0" fontId="4" fillId="2" borderId="10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4" borderId="8" xfId="0" applyFont="1" applyFill="1" applyBorder="1"/>
    <xf numFmtId="0" fontId="4" fillId="4" borderId="9" xfId="0" applyFont="1" applyFill="1" applyBorder="1"/>
    <xf numFmtId="0" fontId="4" fillId="4" borderId="10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18</xdr:row>
      <xdr:rowOff>22860</xdr:rowOff>
    </xdr:from>
    <xdr:to>
      <xdr:col>10</xdr:col>
      <xdr:colOff>403860</xdr:colOff>
      <xdr:row>24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CFDD48-6438-4D1C-AD77-0AFA837FFE07}"/>
            </a:ext>
          </a:extLst>
        </xdr:cNvPr>
        <xdr:cNvSpPr txBox="1"/>
      </xdr:nvSpPr>
      <xdr:spPr>
        <a:xfrm>
          <a:off x="906780" y="3131820"/>
          <a:ext cx="3253740" cy="1089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Cohorts of 20</a:t>
          </a:r>
        </a:p>
        <a:p>
          <a:r>
            <a:rPr lang="en-US" sz="1800" baseline="0"/>
            <a:t>73 man hours delivery per cohort including mentor session</a:t>
          </a:r>
        </a:p>
        <a:p>
          <a:r>
            <a:rPr lang="en-US" sz="1800" baseline="0"/>
            <a:t>360 man hours prep in year 1</a:t>
          </a:r>
        </a:p>
        <a:p>
          <a:r>
            <a:rPr lang="en-US" sz="1800" baseline="0"/>
            <a:t>+ admin and programme management</a:t>
          </a:r>
          <a:endParaRPr lang="en-US" sz="18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CCE4-45CE-44C7-B381-832C6520E62F}">
  <sheetPr>
    <pageSetUpPr fitToPage="1"/>
  </sheetPr>
  <dimension ref="A1:AX26"/>
  <sheetViews>
    <sheetView tabSelected="1" zoomScale="55" zoomScaleNormal="55" workbookViewId="0">
      <selection activeCell="R7" sqref="A2:U7"/>
    </sheetView>
  </sheetViews>
  <sheetFormatPr defaultRowHeight="14.4" x14ac:dyDescent="0.3"/>
  <cols>
    <col min="1" max="50" width="10.5546875" customWidth="1"/>
  </cols>
  <sheetData>
    <row r="1" spans="1:50" s="13" customFormat="1" ht="63.6" customHeight="1" x14ac:dyDescent="0.55000000000000004">
      <c r="A1" s="35" t="s">
        <v>20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7"/>
    </row>
    <row r="2" spans="1:50" s="28" customFormat="1" ht="63.6" customHeight="1" x14ac:dyDescent="0.55000000000000004">
      <c r="A2" s="31"/>
      <c r="B2" s="32" t="s">
        <v>0</v>
      </c>
      <c r="C2" s="33"/>
      <c r="D2" s="33"/>
      <c r="E2" s="34"/>
      <c r="F2" s="32" t="s">
        <v>1</v>
      </c>
      <c r="G2" s="33"/>
      <c r="H2" s="33"/>
      <c r="I2" s="34"/>
      <c r="J2" s="32" t="s">
        <v>2</v>
      </c>
      <c r="K2" s="33"/>
      <c r="L2" s="33"/>
      <c r="M2" s="34"/>
      <c r="N2" s="32" t="s">
        <v>3</v>
      </c>
      <c r="O2" s="33"/>
      <c r="P2" s="33"/>
      <c r="Q2" s="34"/>
      <c r="R2" s="32" t="s">
        <v>4</v>
      </c>
      <c r="S2" s="33"/>
      <c r="T2" s="33"/>
      <c r="U2" s="34"/>
      <c r="V2" s="32" t="s">
        <v>5</v>
      </c>
      <c r="W2" s="33"/>
      <c r="X2" s="33"/>
      <c r="Y2" s="34"/>
      <c r="Z2" s="32" t="s">
        <v>6</v>
      </c>
      <c r="AA2" s="33"/>
      <c r="AB2" s="33"/>
      <c r="AC2" s="34"/>
      <c r="AD2" s="32" t="s">
        <v>7</v>
      </c>
      <c r="AE2" s="33"/>
      <c r="AF2" s="33"/>
      <c r="AG2" s="33"/>
      <c r="AH2" s="34"/>
      <c r="AI2" s="32" t="s">
        <v>8</v>
      </c>
      <c r="AJ2" s="33"/>
      <c r="AK2" s="33"/>
      <c r="AL2" s="34"/>
      <c r="AM2" s="32" t="s">
        <v>9</v>
      </c>
      <c r="AN2" s="33"/>
      <c r="AO2" s="33"/>
      <c r="AP2" s="34"/>
      <c r="AQ2" s="32" t="s">
        <v>10</v>
      </c>
      <c r="AR2" s="33"/>
      <c r="AS2" s="33"/>
      <c r="AT2" s="34"/>
      <c r="AU2" s="32" t="s">
        <v>11</v>
      </c>
      <c r="AV2" s="33"/>
      <c r="AW2" s="33"/>
      <c r="AX2" s="34"/>
    </row>
    <row r="3" spans="1:50" s="13" customFormat="1" ht="63.6" customHeight="1" x14ac:dyDescent="0.45">
      <c r="A3" s="1">
        <v>2023</v>
      </c>
      <c r="B3" s="1"/>
      <c r="C3" s="1"/>
      <c r="D3" s="6"/>
      <c r="E3" s="6"/>
      <c r="F3" s="6"/>
      <c r="G3" s="6"/>
      <c r="H3" s="7" t="s">
        <v>12</v>
      </c>
      <c r="I3" s="7" t="s">
        <v>14</v>
      </c>
      <c r="J3" s="6"/>
      <c r="K3" s="6"/>
      <c r="L3" s="6"/>
      <c r="M3" s="6"/>
      <c r="N3" s="6"/>
      <c r="P3" s="8" t="s">
        <v>12</v>
      </c>
      <c r="Q3" s="8" t="s">
        <v>14</v>
      </c>
      <c r="R3" s="7" t="s">
        <v>15</v>
      </c>
      <c r="S3" s="7" t="s">
        <v>16</v>
      </c>
      <c r="V3" s="9" t="s">
        <v>12</v>
      </c>
      <c r="W3" s="9" t="s">
        <v>14</v>
      </c>
      <c r="X3" s="8" t="s">
        <v>15</v>
      </c>
      <c r="Y3" s="8" t="s">
        <v>16</v>
      </c>
      <c r="AB3" s="10" t="s">
        <v>12</v>
      </c>
      <c r="AC3" s="10" t="s">
        <v>14</v>
      </c>
      <c r="AD3" s="9" t="s">
        <v>15</v>
      </c>
      <c r="AE3" s="9" t="s">
        <v>16</v>
      </c>
      <c r="AH3" s="11" t="s">
        <v>12</v>
      </c>
      <c r="AI3" s="11" t="s">
        <v>14</v>
      </c>
      <c r="AJ3" s="10" t="s">
        <v>15</v>
      </c>
      <c r="AK3" s="10" t="s">
        <v>16</v>
      </c>
      <c r="AN3" s="12" t="s">
        <v>12</v>
      </c>
      <c r="AO3" s="12" t="s">
        <v>14</v>
      </c>
      <c r="AP3" s="11" t="s">
        <v>15</v>
      </c>
      <c r="AQ3" s="11" t="s">
        <v>16</v>
      </c>
      <c r="AT3" s="14" t="s">
        <v>12</v>
      </c>
      <c r="AU3" s="15" t="s">
        <v>14</v>
      </c>
      <c r="AV3" s="16" t="s">
        <v>15</v>
      </c>
      <c r="AW3" s="12" t="s">
        <v>16</v>
      </c>
      <c r="AX3" s="6"/>
    </row>
    <row r="4" spans="1:50" s="13" customFormat="1" ht="63.6" customHeight="1" x14ac:dyDescent="0.45">
      <c r="A4" s="1">
        <v>2024</v>
      </c>
      <c r="B4" s="1"/>
      <c r="C4" s="17" t="s">
        <v>12</v>
      </c>
      <c r="D4" s="18" t="s">
        <v>14</v>
      </c>
      <c r="E4" s="19" t="s">
        <v>22</v>
      </c>
      <c r="F4" s="19" t="s">
        <v>16</v>
      </c>
      <c r="G4" s="6"/>
      <c r="H4" s="6"/>
      <c r="M4" s="6"/>
      <c r="N4" s="6"/>
      <c r="O4" s="17" t="s">
        <v>15</v>
      </c>
      <c r="P4" s="18" t="s">
        <v>16</v>
      </c>
      <c r="S4" s="7" t="s">
        <v>28</v>
      </c>
      <c r="T4" s="7" t="s">
        <v>29</v>
      </c>
      <c r="U4" s="6"/>
      <c r="V4" s="6"/>
      <c r="W4" s="8" t="s">
        <v>28</v>
      </c>
      <c r="X4" s="8" t="s">
        <v>29</v>
      </c>
      <c r="Y4" s="7" t="s">
        <v>30</v>
      </c>
      <c r="Z4" s="7" t="s">
        <v>31</v>
      </c>
      <c r="AA4" s="6"/>
      <c r="AB4" s="6"/>
      <c r="AC4" s="9" t="s">
        <v>28</v>
      </c>
      <c r="AD4" s="9" t="s">
        <v>29</v>
      </c>
      <c r="AE4" s="8" t="s">
        <v>30</v>
      </c>
      <c r="AF4" s="8" t="s">
        <v>31</v>
      </c>
      <c r="AG4" s="6"/>
      <c r="AH4" s="6"/>
      <c r="AI4" s="10" t="s">
        <v>28</v>
      </c>
      <c r="AJ4" s="10" t="s">
        <v>29</v>
      </c>
      <c r="AK4" s="9" t="s">
        <v>30</v>
      </c>
      <c r="AL4" s="9" t="s">
        <v>31</v>
      </c>
      <c r="AM4" s="6"/>
      <c r="AN4" s="6"/>
      <c r="AO4" s="11" t="s">
        <v>28</v>
      </c>
      <c r="AP4" s="11" t="s">
        <v>29</v>
      </c>
      <c r="AQ4" s="10" t="s">
        <v>30</v>
      </c>
      <c r="AR4" s="10" t="s">
        <v>31</v>
      </c>
      <c r="AS4" s="6"/>
      <c r="AT4" s="6"/>
      <c r="AU4" s="12" t="s">
        <v>28</v>
      </c>
      <c r="AV4" s="12" t="s">
        <v>29</v>
      </c>
      <c r="AW4" s="11" t="s">
        <v>30</v>
      </c>
      <c r="AX4" s="11" t="s">
        <v>31</v>
      </c>
    </row>
    <row r="5" spans="1:50" s="13" customFormat="1" ht="63.6" customHeight="1" x14ac:dyDescent="0.45">
      <c r="A5" s="1">
        <v>2025</v>
      </c>
      <c r="B5" s="1"/>
      <c r="C5" s="1"/>
      <c r="D5" s="15" t="s">
        <v>28</v>
      </c>
      <c r="E5" s="15" t="s">
        <v>29</v>
      </c>
      <c r="F5" s="12" t="s">
        <v>30</v>
      </c>
      <c r="G5" s="12" t="s">
        <v>31</v>
      </c>
      <c r="H5" s="6"/>
      <c r="I5" s="6"/>
      <c r="J5" s="17" t="s">
        <v>28</v>
      </c>
      <c r="K5" s="17" t="s">
        <v>29</v>
      </c>
      <c r="L5" s="15" t="s">
        <v>30</v>
      </c>
      <c r="M5" s="15" t="s">
        <v>31</v>
      </c>
      <c r="N5" s="6"/>
      <c r="O5" s="6"/>
      <c r="P5" s="17" t="s">
        <v>30</v>
      </c>
      <c r="Q5" s="17" t="s">
        <v>31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50" s="13" customFormat="1" ht="63.6" customHeight="1" x14ac:dyDescent="0.45"/>
    <row r="7" spans="1:50" s="28" customFormat="1" ht="63.6" customHeight="1" x14ac:dyDescent="0.55000000000000004">
      <c r="A7" s="31"/>
      <c r="B7" s="32" t="s">
        <v>0</v>
      </c>
      <c r="C7" s="33"/>
      <c r="D7" s="33"/>
      <c r="E7" s="34"/>
      <c r="F7" s="32" t="s">
        <v>1</v>
      </c>
      <c r="G7" s="33"/>
      <c r="H7" s="33"/>
      <c r="I7" s="34"/>
      <c r="J7" s="32" t="s">
        <v>2</v>
      </c>
      <c r="K7" s="33"/>
      <c r="L7" s="33"/>
      <c r="M7" s="34"/>
      <c r="N7" s="32" t="s">
        <v>3</v>
      </c>
      <c r="O7" s="33"/>
      <c r="P7" s="33"/>
      <c r="Q7" s="34"/>
      <c r="R7" s="32" t="s">
        <v>4</v>
      </c>
      <c r="S7" s="33"/>
      <c r="T7" s="33"/>
      <c r="U7" s="34"/>
      <c r="V7" s="32" t="s">
        <v>5</v>
      </c>
      <c r="W7" s="33"/>
      <c r="X7" s="33"/>
      <c r="Y7" s="34"/>
      <c r="Z7" s="32" t="s">
        <v>6</v>
      </c>
      <c r="AA7" s="33"/>
      <c r="AB7" s="33"/>
      <c r="AC7" s="34"/>
      <c r="AD7" s="32" t="s">
        <v>7</v>
      </c>
      <c r="AE7" s="33"/>
      <c r="AF7" s="33"/>
      <c r="AG7" s="33"/>
      <c r="AH7" s="34"/>
      <c r="AI7" s="32" t="s">
        <v>8</v>
      </c>
      <c r="AJ7" s="33"/>
      <c r="AK7" s="33"/>
      <c r="AL7" s="34"/>
      <c r="AM7" s="32" t="s">
        <v>9</v>
      </c>
      <c r="AN7" s="33"/>
      <c r="AO7" s="33"/>
      <c r="AP7" s="34"/>
      <c r="AQ7" s="32" t="s">
        <v>10</v>
      </c>
      <c r="AR7" s="33"/>
      <c r="AS7" s="33"/>
      <c r="AT7" s="34"/>
      <c r="AU7" s="32" t="s">
        <v>11</v>
      </c>
      <c r="AV7" s="33"/>
      <c r="AW7" s="33"/>
      <c r="AX7" s="34"/>
    </row>
    <row r="8" spans="1:50" s="13" customFormat="1" ht="63.6" customHeight="1" x14ac:dyDescent="0.55000000000000004">
      <c r="A8" s="38" t="s">
        <v>18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40"/>
    </row>
    <row r="9" spans="1:50" s="13" customFormat="1" ht="63.6" customHeight="1" x14ac:dyDescent="0.45">
      <c r="A9" s="1">
        <v>2023</v>
      </c>
      <c r="B9" s="1"/>
      <c r="C9" s="1"/>
      <c r="D9" s="6"/>
      <c r="E9" s="6"/>
      <c r="F9" s="6" t="s">
        <v>13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20" t="s">
        <v>17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 t="s">
        <v>17</v>
      </c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50" s="13" customFormat="1" ht="63.6" customHeight="1" x14ac:dyDescent="0.45">
      <c r="A10" s="1">
        <v>2024</v>
      </c>
      <c r="B10" s="1"/>
      <c r="C10" s="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21" t="s">
        <v>32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 spans="1:50" s="13" customFormat="1" ht="63.6" customHeight="1" x14ac:dyDescent="0.45">
      <c r="A11" s="1">
        <v>2025</v>
      </c>
      <c r="B11" s="1"/>
      <c r="C11" s="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0" s="13" customFormat="1" ht="63.6" customHeight="1" x14ac:dyDescent="0.45"/>
    <row r="13" spans="1:50" s="28" customFormat="1" ht="63.6" customHeight="1" x14ac:dyDescent="0.45">
      <c r="A13" s="1"/>
      <c r="B13" s="2" t="s">
        <v>0</v>
      </c>
      <c r="C13" s="3"/>
      <c r="D13" s="3"/>
      <c r="E13" s="4"/>
      <c r="F13" s="2" t="s">
        <v>1</v>
      </c>
      <c r="G13" s="5"/>
      <c r="H13" s="3"/>
      <c r="I13" s="4"/>
      <c r="J13" s="2" t="s">
        <v>2</v>
      </c>
      <c r="K13" s="5"/>
      <c r="L13" s="3"/>
      <c r="M13" s="4"/>
      <c r="N13" s="2" t="s">
        <v>3</v>
      </c>
      <c r="O13" s="5"/>
      <c r="P13" s="3"/>
      <c r="Q13" s="4"/>
      <c r="R13" s="2" t="s">
        <v>4</v>
      </c>
      <c r="S13" s="5"/>
      <c r="T13" s="3"/>
      <c r="U13" s="4"/>
      <c r="V13" s="2" t="s">
        <v>5</v>
      </c>
      <c r="W13" s="5"/>
      <c r="X13" s="3"/>
      <c r="Y13" s="4"/>
      <c r="Z13" s="2" t="s">
        <v>6</v>
      </c>
      <c r="AA13" s="5"/>
      <c r="AB13" s="3"/>
      <c r="AC13" s="4"/>
      <c r="AD13" s="2" t="s">
        <v>7</v>
      </c>
      <c r="AE13" s="3"/>
      <c r="AF13" s="3"/>
      <c r="AG13" s="3"/>
      <c r="AH13" s="4"/>
      <c r="AI13" s="2" t="s">
        <v>8</v>
      </c>
      <c r="AJ13" s="3"/>
      <c r="AK13" s="3"/>
      <c r="AL13" s="4"/>
      <c r="AM13" s="2" t="s">
        <v>9</v>
      </c>
      <c r="AN13" s="3"/>
      <c r="AO13" s="3"/>
      <c r="AP13" s="4"/>
      <c r="AQ13" s="2" t="s">
        <v>10</v>
      </c>
      <c r="AR13" s="3"/>
      <c r="AS13" s="3"/>
      <c r="AT13" s="4"/>
      <c r="AU13" s="2" t="s">
        <v>11</v>
      </c>
      <c r="AV13" s="3"/>
      <c r="AW13" s="3"/>
      <c r="AX13" s="4"/>
    </row>
    <row r="14" spans="1:50" s="13" customFormat="1" ht="63.6" customHeight="1" x14ac:dyDescent="0.55000000000000004">
      <c r="A14" s="41" t="s">
        <v>19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3"/>
    </row>
    <row r="15" spans="1:50" s="13" customFormat="1" ht="63.6" customHeight="1" x14ac:dyDescent="0.45">
      <c r="A15" s="1">
        <v>2023</v>
      </c>
      <c r="B15" s="1"/>
      <c r="C15" s="1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 spans="1:50" s="13" customFormat="1" ht="63.6" customHeight="1" x14ac:dyDescent="0.45">
      <c r="A16" s="1">
        <v>2024</v>
      </c>
      <c r="B16" s="1"/>
      <c r="C16" s="1"/>
      <c r="D16" s="6">
        <v>80</v>
      </c>
      <c r="E16" s="6"/>
      <c r="F16" s="6"/>
      <c r="G16" s="6"/>
      <c r="H16" s="6"/>
      <c r="I16" s="6"/>
      <c r="J16" s="6"/>
      <c r="K16" s="6"/>
      <c r="L16" s="6">
        <v>160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 s="13" customFormat="1" ht="63.6" customHeight="1" x14ac:dyDescent="0.45">
      <c r="A17" s="1">
        <v>2025</v>
      </c>
      <c r="B17" s="1"/>
      <c r="C17" s="1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spans="1:50" s="13" customFormat="1" ht="63.6" customHeight="1" x14ac:dyDescent="0.45"/>
    <row r="19" spans="1:50" s="13" customFormat="1" ht="63.6" customHeight="1" x14ac:dyDescent="0.45">
      <c r="O19" s="48" t="s">
        <v>21</v>
      </c>
      <c r="P19" s="49"/>
      <c r="Q19" s="49"/>
      <c r="R19" s="22">
        <v>1</v>
      </c>
    </row>
    <row r="20" spans="1:50" s="13" customFormat="1" ht="63.6" customHeight="1" x14ac:dyDescent="0.45">
      <c r="O20" s="50"/>
      <c r="P20" s="51"/>
      <c r="Q20" s="51"/>
      <c r="R20" s="23">
        <v>2</v>
      </c>
      <c r="U20" s="13" t="s">
        <v>23</v>
      </c>
    </row>
    <row r="21" spans="1:50" s="13" customFormat="1" ht="63.6" customHeight="1" x14ac:dyDescent="0.45">
      <c r="O21" s="50"/>
      <c r="P21" s="51"/>
      <c r="Q21" s="51"/>
      <c r="R21" s="24">
        <v>3</v>
      </c>
      <c r="V21" s="44" t="s">
        <v>33</v>
      </c>
      <c r="W21" s="44"/>
      <c r="X21" s="44"/>
      <c r="Y21" s="45">
        <v>8</v>
      </c>
    </row>
    <row r="22" spans="1:50" s="13" customFormat="1" ht="63.6" customHeight="1" x14ac:dyDescent="0.45">
      <c r="O22" s="50"/>
      <c r="P22" s="51"/>
      <c r="Q22" s="51"/>
      <c r="R22" s="25">
        <v>4</v>
      </c>
      <c r="V22" s="44" t="s">
        <v>26</v>
      </c>
      <c r="W22" s="44"/>
      <c r="X22" s="44"/>
      <c r="Y22" s="45">
        <f>SUM(Y21*73)</f>
        <v>584</v>
      </c>
    </row>
    <row r="23" spans="1:50" s="13" customFormat="1" ht="63.6" customHeight="1" x14ac:dyDescent="0.45">
      <c r="O23" s="50"/>
      <c r="P23" s="51"/>
      <c r="Q23" s="51"/>
      <c r="R23" s="26">
        <v>5</v>
      </c>
      <c r="V23" s="44" t="s">
        <v>27</v>
      </c>
      <c r="W23" s="44"/>
      <c r="X23" s="44"/>
      <c r="Y23" s="45">
        <f>SUM((64*5)+40)</f>
        <v>360</v>
      </c>
    </row>
    <row r="24" spans="1:50" s="13" customFormat="1" ht="63.6" customHeight="1" x14ac:dyDescent="0.45">
      <c r="O24" s="50"/>
      <c r="P24" s="51"/>
      <c r="Q24" s="51"/>
      <c r="R24" s="27">
        <v>6</v>
      </c>
      <c r="V24" s="46" t="s">
        <v>24</v>
      </c>
      <c r="W24" s="46"/>
      <c r="X24" s="46"/>
      <c r="Y24" s="47">
        <f>SUM(Y21:Y23)</f>
        <v>952</v>
      </c>
    </row>
    <row r="25" spans="1:50" s="13" customFormat="1" ht="63.6" customHeight="1" x14ac:dyDescent="0.45">
      <c r="O25" s="50"/>
      <c r="P25" s="51"/>
      <c r="Q25" s="51"/>
      <c r="R25" s="29">
        <v>7</v>
      </c>
      <c r="V25" s="46" t="s">
        <v>25</v>
      </c>
      <c r="W25" s="46"/>
      <c r="X25" s="46"/>
      <c r="Y25" s="47">
        <f>SUM(Y24/40)</f>
        <v>23.8</v>
      </c>
    </row>
    <row r="26" spans="1:50" s="13" customFormat="1" ht="63.6" customHeight="1" x14ac:dyDescent="0.45">
      <c r="O26" s="52"/>
      <c r="P26" s="53"/>
      <c r="Q26" s="53"/>
      <c r="R26" s="30">
        <v>8</v>
      </c>
    </row>
  </sheetData>
  <mergeCells count="45">
    <mergeCell ref="V23:X23"/>
    <mergeCell ref="V24:X24"/>
    <mergeCell ref="V25:X25"/>
    <mergeCell ref="O19:Q26"/>
    <mergeCell ref="V21:X21"/>
    <mergeCell ref="V22:X22"/>
    <mergeCell ref="A1:AX1"/>
    <mergeCell ref="A8:AX8"/>
    <mergeCell ref="B2:E2"/>
    <mergeCell ref="A14:AX14"/>
    <mergeCell ref="AD7:AH7"/>
    <mergeCell ref="Z7:AC7"/>
    <mergeCell ref="V7:Y7"/>
    <mergeCell ref="R7:U7"/>
    <mergeCell ref="N7:Q7"/>
    <mergeCell ref="J7:M7"/>
    <mergeCell ref="F7:I7"/>
    <mergeCell ref="B7:E7"/>
    <mergeCell ref="B13:E13"/>
    <mergeCell ref="F2:I2"/>
    <mergeCell ref="J2:M2"/>
    <mergeCell ref="N2:Q2"/>
    <mergeCell ref="R2:U2"/>
    <mergeCell ref="V2:Y2"/>
    <mergeCell ref="Z2:AC2"/>
    <mergeCell ref="AD2:AH2"/>
    <mergeCell ref="AI2:AL2"/>
    <mergeCell ref="AM2:AP2"/>
    <mergeCell ref="AQ2:AT2"/>
    <mergeCell ref="AU2:AX2"/>
    <mergeCell ref="AU7:AX7"/>
    <mergeCell ref="AQ7:AT7"/>
    <mergeCell ref="AM7:AP7"/>
    <mergeCell ref="AI7:AL7"/>
    <mergeCell ref="F13:I13"/>
    <mergeCell ref="J13:M13"/>
    <mergeCell ref="N13:Q13"/>
    <mergeCell ref="R13:U13"/>
    <mergeCell ref="V13:Y13"/>
    <mergeCell ref="AU13:AX13"/>
    <mergeCell ref="Z13:AC13"/>
    <mergeCell ref="AD13:AH13"/>
    <mergeCell ref="AI13:AL13"/>
    <mergeCell ref="AM13:AP13"/>
    <mergeCell ref="AQ13:AT13"/>
  </mergeCells>
  <phoneticPr fontId="1" type="noConversion"/>
  <pageMargins left="0.7" right="0.7" top="0.75" bottom="0.75" header="0.3" footer="0.3"/>
  <pageSetup paperSize="8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 Futtaim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Felicity Thornton</dc:creator>
  <cp:lastModifiedBy>Fatma Alsagaf</cp:lastModifiedBy>
  <cp:lastPrinted>2023-01-05T08:45:50Z</cp:lastPrinted>
  <dcterms:created xsi:type="dcterms:W3CDTF">2022-10-05T13:40:07Z</dcterms:created>
  <dcterms:modified xsi:type="dcterms:W3CDTF">2023-01-05T08:47:55Z</dcterms:modified>
</cp:coreProperties>
</file>